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csi943-my.sharepoint.com/personal/dlutter_ncsi_us/Documents/Documents/Mike Stout Timesheets/2026/"/>
    </mc:Choice>
  </mc:AlternateContent>
  <xr:revisionPtr revIDLastSave="548" documentId="8_{CC22B1C7-6BB3-4EC8-AAD8-3C2131F54818}" xr6:coauthVersionLast="47" xr6:coauthVersionMax="47" xr10:uidLastSave="{7275F1E4-989D-4B72-B924-CE0A49217DE5}"/>
  <bookViews>
    <workbookView xWindow="450" yWindow="2130" windowWidth="25050" windowHeight="15330" activeTab="3" xr2:uid="{00000000-000D-0000-FFFF-FFFF00000000}"/>
  </bookViews>
  <sheets>
    <sheet name="Jan 2026" sheetId="2" r:id="rId1"/>
    <sheet name="Feb 2026" sheetId="3" r:id="rId2"/>
    <sheet name="Mar 2026" sheetId="4" r:id="rId3"/>
    <sheet name="April 2026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" l="1"/>
  <c r="G22" i="5"/>
  <c r="G24" i="5" s="1"/>
  <c r="G28" i="5"/>
  <c r="G30" i="5" s="1"/>
  <c r="G17" i="5"/>
  <c r="G19" i="5" s="1"/>
  <c r="G10" i="5"/>
  <c r="G12" i="5" s="1"/>
  <c r="G35" i="4"/>
  <c r="G30" i="4"/>
  <c r="G32" i="4" s="1"/>
  <c r="G25" i="4"/>
  <c r="G27" i="4" s="1"/>
  <c r="G12" i="4"/>
  <c r="G14" i="4" s="1"/>
  <c r="G32" i="3"/>
  <c r="G34" i="3" s="1"/>
  <c r="G37" i="3" s="1"/>
  <c r="G27" i="3"/>
  <c r="G29" i="3" s="1"/>
  <c r="G22" i="3"/>
  <c r="G24" i="3" s="1"/>
  <c r="G29" i="2"/>
  <c r="G24" i="2"/>
  <c r="G17" i="2"/>
  <c r="G11" i="2"/>
  <c r="G13" i="2" l="1"/>
  <c r="G26" i="2"/>
  <c r="G19" i="2"/>
</calcChain>
</file>

<file path=xl/sharedStrings.xml><?xml version="1.0" encoding="utf-8"?>
<sst xmlns="http://schemas.openxmlformats.org/spreadsheetml/2006/main" count="304" uniqueCount="84">
  <si>
    <t>Date</t>
  </si>
  <si>
    <t>Resource</t>
  </si>
  <si>
    <t>Project</t>
  </si>
  <si>
    <t>Activity</t>
  </si>
  <si>
    <t>Task</t>
  </si>
  <si>
    <t>Assignment</t>
  </si>
  <si>
    <t>Hours</t>
  </si>
  <si>
    <t>Notes</t>
  </si>
  <si>
    <t>Mike Stout</t>
  </si>
  <si>
    <t>Implementation and Data Import</t>
  </si>
  <si>
    <t>Total Hours</t>
  </si>
  <si>
    <t>Project Rate</t>
  </si>
  <si>
    <t>Payment</t>
  </si>
  <si>
    <t>ClearData Technologies, Inc.</t>
  </si>
  <si>
    <t>9016 Crown Point Cir</t>
  </si>
  <si>
    <t>Irving, TX, 75063</t>
  </si>
  <si>
    <t>General Consulting</t>
  </si>
  <si>
    <t>Configuration</t>
  </si>
  <si>
    <t>UI updates.</t>
  </si>
  <si>
    <t>Aspirion_Asset Express, Neurons &amp; iPaaS 200 Hrs_Job#251075</t>
  </si>
  <si>
    <t>Bill For January 2026 Services</t>
  </si>
  <si>
    <t>Total Payment Due for January 2026</t>
  </si>
  <si>
    <t>Update UI actions: Refresh, Break-Fix, Termination</t>
  </si>
  <si>
    <t>Import computers.</t>
  </si>
  <si>
    <t>AGS_General Consulting 40 Hrs_Job#251128</t>
  </si>
  <si>
    <t>Templates, Foundation Tables.</t>
  </si>
  <si>
    <t>Metadata package built.</t>
  </si>
  <si>
    <t>Pegasystems_ITAM 11 Hours_Job#241136 261003</t>
  </si>
  <si>
    <t>Updated Entitlement forms.</t>
  </si>
  <si>
    <t>Create custom fields.</t>
  </si>
  <si>
    <t>Bill For February  2026 Services</t>
  </si>
  <si>
    <t>Total Payment Due for February 2026</t>
  </si>
  <si>
    <t>Lifecycle discussion and UAT.</t>
  </si>
  <si>
    <t>Update asset locations.</t>
  </si>
  <si>
    <t>User Acceptance Testing. Location, Data.</t>
  </si>
  <si>
    <t>Create status quick actions, updated UI with all buttons.</t>
  </si>
  <si>
    <t>Created quick actions.</t>
  </si>
  <si>
    <t>Decided more UI updates. Quick actions, custom status, buttons.</t>
  </si>
  <si>
    <t>Update UI.</t>
  </si>
  <si>
    <t>Loading infrastructure, UI planning</t>
  </si>
  <si>
    <t>Loaded Virtual Servers.</t>
  </si>
  <si>
    <t>Preparing data for Servers, Infrastructure</t>
  </si>
  <si>
    <t>Added assigned users to Mobile Devices.</t>
  </si>
  <si>
    <t>Uploaded, mobile devices.</t>
  </si>
  <si>
    <t>Loaded CI location link data.</t>
  </si>
  <si>
    <t>Added E-Waste status, transaction.</t>
  </si>
  <si>
    <t>Hours originally for Asset Request</t>
  </si>
  <si>
    <t>Created quick action for excel export. Export two reports.</t>
  </si>
  <si>
    <t>Offit Kurman_ITSM General Consulting 20 Hrs_Job#251101</t>
  </si>
  <si>
    <t>Bill For March  2026 Services</t>
  </si>
  <si>
    <t>Total Payment Due for March 2026</t>
  </si>
  <si>
    <t>MDM Data Import. Import Wacom devices.</t>
  </si>
  <si>
    <t>UI update validation. Discussion of Neuron DEX/ITAM connectivity. Discussion of Insight/DEX connection.</t>
  </si>
  <si>
    <t>UI Updates. Life Cycle.</t>
  </si>
  <si>
    <t>Scoping</t>
  </si>
  <si>
    <t>Pre-sales Support</t>
  </si>
  <si>
    <t>Pegasystems_ITAM Scoping</t>
  </si>
  <si>
    <t>Custom data formatting.</t>
  </si>
  <si>
    <t>Formatting Data File (1)</t>
  </si>
  <si>
    <t>Pegasystems_ITAM 15 Hrs_Job#261016</t>
  </si>
  <si>
    <t>Completed customer roles, researched customer scheduled report feasibility.</t>
  </si>
  <si>
    <t>Custom role (define role specific access)</t>
  </si>
  <si>
    <t>Configuring custom role.</t>
  </si>
  <si>
    <t>Configured custom role 1.</t>
  </si>
  <si>
    <t>Notification config. Found error. Directed Shravan to open a ticket with Ivanti.</t>
  </si>
  <si>
    <t>Configuring renewal of email alerts and automated reminders</t>
  </si>
  <si>
    <t>Entitlement Notifications configuration.</t>
  </si>
  <si>
    <t>Email setup, Notification configuration.</t>
  </si>
  <si>
    <t>Email notification config. Field mandatory updates.</t>
  </si>
  <si>
    <t>Discussed data onboarding.</t>
  </si>
  <si>
    <t>Thurston County_ITAM 8 Hours_Job#251091</t>
  </si>
  <si>
    <t>Bill For April  2026 Services</t>
  </si>
  <si>
    <t>Updated Wacom display asset data.</t>
  </si>
  <si>
    <t>Create meta data package.</t>
  </si>
  <si>
    <t>Migrating metadata from staging to production</t>
  </si>
  <si>
    <t>Loaded custom data.</t>
  </si>
  <si>
    <t xml:space="preserve">Loading Data File (1) </t>
  </si>
  <si>
    <t>Changes to custom roles.</t>
  </si>
  <si>
    <t>Discussion re: Location, Fin Owners.</t>
  </si>
  <si>
    <t>Loading general templates</t>
  </si>
  <si>
    <t>Total Payment Due for April 2026</t>
  </si>
  <si>
    <t>Troubleshoot Neuron DEX device import.</t>
  </si>
  <si>
    <t>Neurons for DEX and Patch</t>
  </si>
  <si>
    <t>St. Francis_Neurons &amp; Patch Pckg_Job#251107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</si>
</sst>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i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EE7FF"/>
        <bgColor rgb="FFCEE7FF"/>
      </patternFill>
    </fill>
  </fills>
  <borders count="3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2" fontId="2" fillId="2" borderId="1" xfId="0" applyNumberFormat="1" applyFont="1" applyFill="1" applyBorder="1" applyAlignment="1">
      <alignment horizontal="left" vertical="top"/>
    </xf>
    <xf numFmtId="2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workbookViewId="0"/>
  </sheetViews>
  <sheetFormatPr defaultColWidth="9.140625" defaultRowHeight="11.25" x14ac:dyDescent="0.25"/>
  <cols>
    <col min="1" max="1" width="8.85546875" style="1" customWidth="1"/>
    <col min="2" max="2" width="9.85546875" style="1" customWidth="1"/>
    <col min="3" max="3" width="47.28515625" style="1" customWidth="1"/>
    <col min="4" max="4" width="13" style="1" customWidth="1"/>
    <col min="5" max="5" width="41.42578125" style="1" customWidth="1"/>
    <col min="6" max="6" width="11.5703125" style="1" customWidth="1"/>
    <col min="7" max="7" width="9.5703125" style="5" customWidth="1"/>
    <col min="8" max="8" width="72.85546875" style="1" customWidth="1"/>
    <col min="9" max="9" width="9.140625" style="1" customWidth="1"/>
    <col min="10" max="16384" width="9.140625" style="1"/>
  </cols>
  <sheetData>
    <row r="1" spans="1:8" x14ac:dyDescent="0.25">
      <c r="A1" s="10"/>
      <c r="B1" s="10"/>
      <c r="C1" s="13" t="s">
        <v>8</v>
      </c>
    </row>
    <row r="2" spans="1:8" x14ac:dyDescent="0.25">
      <c r="A2" s="10"/>
      <c r="B2" s="10"/>
      <c r="C2" s="13" t="s">
        <v>13</v>
      </c>
    </row>
    <row r="3" spans="1:8" ht="12.75" x14ac:dyDescent="0.25">
      <c r="A3" s="10"/>
      <c r="B3" s="10"/>
      <c r="C3" s="13" t="s">
        <v>14</v>
      </c>
      <c r="E3" s="12" t="s">
        <v>20</v>
      </c>
    </row>
    <row r="4" spans="1:8" x14ac:dyDescent="0.25">
      <c r="A4" s="10"/>
      <c r="B4" s="10"/>
      <c r="C4" s="13" t="s">
        <v>15</v>
      </c>
    </row>
    <row r="5" spans="1:8" x14ac:dyDescent="0.25">
      <c r="A5" s="10"/>
      <c r="B5" s="10"/>
      <c r="C5" s="10"/>
    </row>
    <row r="6" spans="1:8" x14ac:dyDescent="0.25">
      <c r="A6" s="10"/>
      <c r="B6" s="10"/>
      <c r="C6" s="10"/>
    </row>
    <row r="7" spans="1:8" x14ac:dyDescent="0.25">
      <c r="A7" s="11"/>
      <c r="B7" s="11"/>
      <c r="C7" s="11"/>
    </row>
    <row r="8" spans="1: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4" t="s">
        <v>6</v>
      </c>
      <c r="H8" s="2" t="s">
        <v>7</v>
      </c>
    </row>
    <row r="9" spans="1:8" x14ac:dyDescent="0.25">
      <c r="A9" s="3">
        <v>46044</v>
      </c>
      <c r="B9" s="1" t="s">
        <v>8</v>
      </c>
      <c r="C9" s="1" t="s">
        <v>24</v>
      </c>
      <c r="D9" s="1" t="s">
        <v>17</v>
      </c>
      <c r="E9" s="1" t="s">
        <v>16</v>
      </c>
      <c r="G9" s="5">
        <v>2</v>
      </c>
      <c r="H9" s="1" t="s">
        <v>25</v>
      </c>
    </row>
    <row r="10" spans="1:8" x14ac:dyDescent="0.25">
      <c r="A10" s="3">
        <v>46049</v>
      </c>
      <c r="B10" s="1" t="s">
        <v>8</v>
      </c>
      <c r="C10" s="1" t="s">
        <v>24</v>
      </c>
      <c r="D10" s="1" t="s">
        <v>17</v>
      </c>
      <c r="E10" s="1" t="s">
        <v>16</v>
      </c>
      <c r="G10" s="5">
        <v>2</v>
      </c>
      <c r="H10" s="1" t="s">
        <v>23</v>
      </c>
    </row>
    <row r="11" spans="1:8" x14ac:dyDescent="0.25">
      <c r="A11" s="3"/>
      <c r="E11" s="7" t="s">
        <v>10</v>
      </c>
      <c r="F11" s="7"/>
      <c r="G11" s="8">
        <f>SUM(G9:G10)</f>
        <v>4</v>
      </c>
    </row>
    <row r="12" spans="1:8" x14ac:dyDescent="0.25">
      <c r="A12" s="3"/>
      <c r="E12" s="7" t="s">
        <v>11</v>
      </c>
      <c r="F12" s="7"/>
      <c r="G12" s="9">
        <v>100</v>
      </c>
    </row>
    <row r="13" spans="1:8" x14ac:dyDescent="0.25">
      <c r="A13" s="3"/>
      <c r="E13" s="7" t="s">
        <v>12</v>
      </c>
      <c r="F13" s="7"/>
      <c r="G13" s="9">
        <f>G11*G12</f>
        <v>400</v>
      </c>
    </row>
    <row r="14" spans="1:8" x14ac:dyDescent="0.25">
      <c r="A14" s="3"/>
      <c r="G14" s="6"/>
    </row>
    <row r="15" spans="1:8" x14ac:dyDescent="0.25">
      <c r="A15" s="3">
        <v>46036</v>
      </c>
      <c r="B15" s="1" t="s">
        <v>8</v>
      </c>
      <c r="C15" s="1" t="s">
        <v>19</v>
      </c>
      <c r="D15" s="1" t="s">
        <v>17</v>
      </c>
      <c r="E15" s="1" t="s">
        <v>9</v>
      </c>
      <c r="G15" s="5">
        <v>1</v>
      </c>
      <c r="H15" s="1" t="s">
        <v>22</v>
      </c>
    </row>
    <row r="16" spans="1:8" x14ac:dyDescent="0.25">
      <c r="A16" s="3">
        <v>46038</v>
      </c>
      <c r="B16" s="1" t="s">
        <v>8</v>
      </c>
      <c r="C16" s="1" t="s">
        <v>19</v>
      </c>
      <c r="D16" s="1" t="s">
        <v>17</v>
      </c>
      <c r="E16" s="1" t="s">
        <v>9</v>
      </c>
      <c r="G16" s="5">
        <v>2</v>
      </c>
      <c r="H16" s="1" t="s">
        <v>18</v>
      </c>
    </row>
    <row r="17" spans="1:8" x14ac:dyDescent="0.25">
      <c r="A17" s="3"/>
      <c r="E17" s="7" t="s">
        <v>10</v>
      </c>
      <c r="F17" s="7"/>
      <c r="G17" s="8">
        <f>SUM(G15:G16)</f>
        <v>3</v>
      </c>
    </row>
    <row r="18" spans="1:8" x14ac:dyDescent="0.25">
      <c r="A18" s="3"/>
      <c r="E18" s="7" t="s">
        <v>11</v>
      </c>
      <c r="F18" s="7"/>
      <c r="G18" s="9">
        <v>100</v>
      </c>
    </row>
    <row r="19" spans="1:8" x14ac:dyDescent="0.25">
      <c r="A19" s="3"/>
      <c r="E19" s="7" t="s">
        <v>12</v>
      </c>
      <c r="F19" s="7"/>
      <c r="G19" s="9">
        <f>G17*G18</f>
        <v>300</v>
      </c>
    </row>
    <row r="20" spans="1:8" x14ac:dyDescent="0.25">
      <c r="A20" s="3"/>
    </row>
    <row r="21" spans="1:8" x14ac:dyDescent="0.25">
      <c r="A21" s="3">
        <v>46042</v>
      </c>
      <c r="B21" s="1" t="s">
        <v>8</v>
      </c>
      <c r="C21" s="1" t="s">
        <v>27</v>
      </c>
      <c r="D21" s="1" t="s">
        <v>17</v>
      </c>
      <c r="E21" s="1" t="s">
        <v>16</v>
      </c>
      <c r="G21" s="5">
        <v>1.5</v>
      </c>
      <c r="H21" s="1" t="s">
        <v>29</v>
      </c>
    </row>
    <row r="22" spans="1:8" x14ac:dyDescent="0.25">
      <c r="A22" s="3">
        <v>46045</v>
      </c>
      <c r="B22" s="1" t="s">
        <v>8</v>
      </c>
      <c r="C22" s="1" t="s">
        <v>27</v>
      </c>
      <c r="D22" s="1" t="s">
        <v>17</v>
      </c>
      <c r="E22" s="1" t="s">
        <v>16</v>
      </c>
      <c r="G22" s="5">
        <v>1.5</v>
      </c>
      <c r="H22" s="1" t="s">
        <v>28</v>
      </c>
    </row>
    <row r="23" spans="1:8" x14ac:dyDescent="0.25">
      <c r="A23" s="3">
        <v>46051</v>
      </c>
      <c r="B23" s="1" t="s">
        <v>8</v>
      </c>
      <c r="C23" s="1" t="s">
        <v>27</v>
      </c>
      <c r="D23" s="1" t="s">
        <v>17</v>
      </c>
      <c r="E23" s="1" t="s">
        <v>16</v>
      </c>
      <c r="G23" s="5">
        <v>1</v>
      </c>
      <c r="H23" s="1" t="s">
        <v>26</v>
      </c>
    </row>
    <row r="24" spans="1:8" x14ac:dyDescent="0.25">
      <c r="E24" s="7" t="s">
        <v>10</v>
      </c>
      <c r="F24" s="7"/>
      <c r="G24" s="8">
        <f>SUM(G21:G23)</f>
        <v>4</v>
      </c>
    </row>
    <row r="25" spans="1:8" x14ac:dyDescent="0.25">
      <c r="E25" s="7" t="s">
        <v>11</v>
      </c>
      <c r="F25" s="7"/>
      <c r="G25" s="9">
        <v>95.4</v>
      </c>
    </row>
    <row r="26" spans="1:8" x14ac:dyDescent="0.25">
      <c r="E26" s="7" t="s">
        <v>12</v>
      </c>
      <c r="F26" s="7"/>
      <c r="G26" s="9">
        <f>G24*G25</f>
        <v>381.6</v>
      </c>
    </row>
    <row r="29" spans="1:8" x14ac:dyDescent="0.25">
      <c r="E29" s="7" t="s">
        <v>21</v>
      </c>
      <c r="F29" s="7"/>
      <c r="G29" s="9">
        <f>G13+G19+G26</f>
        <v>1081.5999999999999</v>
      </c>
    </row>
  </sheetData>
  <sortState xmlns:xlrd2="http://schemas.microsoft.com/office/spreadsheetml/2017/richdata2" ref="A9:K25">
    <sortCondition ref="C9:C25"/>
    <sortCondition ref="A9:A25"/>
  </sortState>
  <pageMargins left="0.75" right="0.75" top="0.75" bottom="0.5" header="0.5" footer="0.7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8965-D939-4A9B-BFF7-9B72BA11486D}">
  <dimension ref="A1:H37"/>
  <sheetViews>
    <sheetView showGridLines="0" workbookViewId="0"/>
  </sheetViews>
  <sheetFormatPr defaultColWidth="9.140625" defaultRowHeight="11.25" x14ac:dyDescent="0.25"/>
  <cols>
    <col min="1" max="1" width="8.85546875" style="1" customWidth="1"/>
    <col min="2" max="2" width="9.85546875" style="1" customWidth="1"/>
    <col min="3" max="3" width="47.28515625" style="1" customWidth="1"/>
    <col min="4" max="4" width="13" style="1" customWidth="1"/>
    <col min="5" max="5" width="41.42578125" style="1" customWidth="1"/>
    <col min="6" max="6" width="11.5703125" style="1" customWidth="1"/>
    <col min="7" max="7" width="9.5703125" style="5" customWidth="1"/>
    <col min="8" max="8" width="72.85546875" style="1" customWidth="1"/>
    <col min="9" max="9" width="9.140625" style="1" customWidth="1"/>
    <col min="10" max="16384" width="9.140625" style="1"/>
  </cols>
  <sheetData>
    <row r="1" spans="1:8" x14ac:dyDescent="0.25">
      <c r="A1" s="10"/>
      <c r="B1" s="10"/>
      <c r="C1" s="13" t="s">
        <v>8</v>
      </c>
    </row>
    <row r="2" spans="1:8" x14ac:dyDescent="0.25">
      <c r="A2" s="10"/>
      <c r="B2" s="10"/>
      <c r="C2" s="13" t="s">
        <v>13</v>
      </c>
    </row>
    <row r="3" spans="1:8" ht="12.75" x14ac:dyDescent="0.25">
      <c r="A3" s="10"/>
      <c r="B3" s="10"/>
      <c r="C3" s="13" t="s">
        <v>14</v>
      </c>
      <c r="E3" s="12" t="s">
        <v>30</v>
      </c>
    </row>
    <row r="4" spans="1:8" x14ac:dyDescent="0.25">
      <c r="A4" s="10"/>
      <c r="B4" s="10"/>
      <c r="C4" s="13" t="s">
        <v>15</v>
      </c>
    </row>
    <row r="5" spans="1:8" x14ac:dyDescent="0.25">
      <c r="A5" s="10"/>
      <c r="B5" s="10"/>
      <c r="C5" s="10"/>
    </row>
    <row r="6" spans="1:8" x14ac:dyDescent="0.25">
      <c r="A6" s="10"/>
      <c r="B6" s="10"/>
      <c r="C6" s="10"/>
    </row>
    <row r="7" spans="1:8" x14ac:dyDescent="0.25">
      <c r="A7" s="11"/>
      <c r="B7" s="11"/>
      <c r="C7" s="11"/>
    </row>
    <row r="8" spans="1: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4" t="s">
        <v>6</v>
      </c>
      <c r="H8" s="2" t="s">
        <v>7</v>
      </c>
    </row>
    <row r="9" spans="1:8" x14ac:dyDescent="0.25">
      <c r="A9" s="3">
        <v>46055</v>
      </c>
      <c r="B9" s="1" t="s">
        <v>8</v>
      </c>
      <c r="C9" s="1" t="s">
        <v>24</v>
      </c>
      <c r="D9" s="1" t="s">
        <v>17</v>
      </c>
      <c r="E9" s="1" t="s">
        <v>16</v>
      </c>
      <c r="G9" s="5">
        <v>1</v>
      </c>
      <c r="H9" s="1" t="s">
        <v>44</v>
      </c>
    </row>
    <row r="10" spans="1:8" x14ac:dyDescent="0.25">
      <c r="A10" s="3">
        <v>46056</v>
      </c>
      <c r="B10" s="1" t="s">
        <v>8</v>
      </c>
      <c r="C10" s="1" t="s">
        <v>24</v>
      </c>
      <c r="D10" s="1" t="s">
        <v>17</v>
      </c>
      <c r="E10" s="1" t="s">
        <v>16</v>
      </c>
      <c r="G10" s="5">
        <v>2</v>
      </c>
      <c r="H10" s="1" t="s">
        <v>43</v>
      </c>
    </row>
    <row r="11" spans="1:8" x14ac:dyDescent="0.25">
      <c r="A11" s="3">
        <v>46057</v>
      </c>
      <c r="B11" s="1" t="s">
        <v>8</v>
      </c>
      <c r="C11" s="1" t="s">
        <v>24</v>
      </c>
      <c r="D11" s="1" t="s">
        <v>17</v>
      </c>
      <c r="E11" s="1" t="s">
        <v>16</v>
      </c>
      <c r="G11" s="5">
        <v>2</v>
      </c>
      <c r="H11" s="1" t="s">
        <v>42</v>
      </c>
    </row>
    <row r="12" spans="1:8" x14ac:dyDescent="0.25">
      <c r="A12" s="3">
        <v>46062</v>
      </c>
      <c r="B12" s="1" t="s">
        <v>8</v>
      </c>
      <c r="C12" s="1" t="s">
        <v>24</v>
      </c>
      <c r="D12" s="1" t="s">
        <v>17</v>
      </c>
      <c r="E12" s="1" t="s">
        <v>16</v>
      </c>
      <c r="G12" s="5">
        <v>3</v>
      </c>
      <c r="H12" s="1" t="s">
        <v>41</v>
      </c>
    </row>
    <row r="13" spans="1:8" x14ac:dyDescent="0.25">
      <c r="A13" s="3">
        <v>46063</v>
      </c>
      <c r="B13" s="1" t="s">
        <v>8</v>
      </c>
      <c r="C13" s="1" t="s">
        <v>24</v>
      </c>
      <c r="D13" s="1" t="s">
        <v>17</v>
      </c>
      <c r="E13" s="1" t="s">
        <v>16</v>
      </c>
      <c r="G13" s="5">
        <v>1</v>
      </c>
      <c r="H13" s="1" t="s">
        <v>40</v>
      </c>
    </row>
    <row r="14" spans="1:8" x14ac:dyDescent="0.25">
      <c r="A14" s="3">
        <v>46065</v>
      </c>
      <c r="B14" s="1" t="s">
        <v>8</v>
      </c>
      <c r="C14" s="1" t="s">
        <v>24</v>
      </c>
      <c r="D14" s="1" t="s">
        <v>17</v>
      </c>
      <c r="E14" s="1" t="s">
        <v>16</v>
      </c>
      <c r="G14" s="5">
        <v>4</v>
      </c>
      <c r="H14" s="1" t="s">
        <v>39</v>
      </c>
    </row>
    <row r="15" spans="1:8" x14ac:dyDescent="0.25">
      <c r="A15" s="3">
        <v>46069</v>
      </c>
      <c r="B15" s="1" t="s">
        <v>8</v>
      </c>
      <c r="C15" s="1" t="s">
        <v>24</v>
      </c>
      <c r="D15" s="1" t="s">
        <v>17</v>
      </c>
      <c r="E15" s="1" t="s">
        <v>16</v>
      </c>
      <c r="G15" s="5">
        <v>2</v>
      </c>
      <c r="H15" s="1" t="s">
        <v>38</v>
      </c>
    </row>
    <row r="16" spans="1:8" x14ac:dyDescent="0.25">
      <c r="A16" s="3">
        <v>46070</v>
      </c>
      <c r="B16" s="1" t="s">
        <v>8</v>
      </c>
      <c r="C16" s="1" t="s">
        <v>24</v>
      </c>
      <c r="D16" s="1" t="s">
        <v>17</v>
      </c>
      <c r="E16" s="1" t="s">
        <v>16</v>
      </c>
      <c r="G16" s="5">
        <v>1</v>
      </c>
      <c r="H16" s="1" t="s">
        <v>37</v>
      </c>
    </row>
    <row r="17" spans="1:8" x14ac:dyDescent="0.25">
      <c r="A17" s="3">
        <v>46071</v>
      </c>
      <c r="B17" s="1" t="s">
        <v>8</v>
      </c>
      <c r="C17" s="1" t="s">
        <v>24</v>
      </c>
      <c r="D17" s="1" t="s">
        <v>17</v>
      </c>
      <c r="E17" s="1" t="s">
        <v>16</v>
      </c>
      <c r="G17" s="5">
        <v>2</v>
      </c>
      <c r="H17" s="1" t="s">
        <v>36</v>
      </c>
    </row>
    <row r="18" spans="1:8" x14ac:dyDescent="0.25">
      <c r="A18" s="3">
        <v>46072</v>
      </c>
      <c r="B18" s="1" t="s">
        <v>8</v>
      </c>
      <c r="C18" s="1" t="s">
        <v>24</v>
      </c>
      <c r="D18" s="1" t="s">
        <v>17</v>
      </c>
      <c r="E18" s="1" t="s">
        <v>16</v>
      </c>
      <c r="G18" s="5">
        <v>3</v>
      </c>
      <c r="H18" s="1" t="s">
        <v>35</v>
      </c>
    </row>
    <row r="19" spans="1:8" x14ac:dyDescent="0.25">
      <c r="A19" s="3">
        <v>46077</v>
      </c>
      <c r="B19" s="1" t="s">
        <v>8</v>
      </c>
      <c r="C19" s="1" t="s">
        <v>24</v>
      </c>
      <c r="D19" s="1" t="s">
        <v>17</v>
      </c>
      <c r="E19" s="1" t="s">
        <v>16</v>
      </c>
      <c r="G19" s="5">
        <v>2</v>
      </c>
      <c r="H19" s="1" t="s">
        <v>34</v>
      </c>
    </row>
    <row r="20" spans="1:8" x14ac:dyDescent="0.25">
      <c r="A20" s="3">
        <v>46078</v>
      </c>
      <c r="B20" s="1" t="s">
        <v>8</v>
      </c>
      <c r="C20" s="1" t="s">
        <v>24</v>
      </c>
      <c r="D20" s="1" t="s">
        <v>17</v>
      </c>
      <c r="E20" s="1" t="s">
        <v>16</v>
      </c>
      <c r="G20" s="5">
        <v>1</v>
      </c>
      <c r="H20" s="1" t="s">
        <v>33</v>
      </c>
    </row>
    <row r="21" spans="1:8" x14ac:dyDescent="0.25">
      <c r="A21" s="3">
        <v>46079</v>
      </c>
      <c r="B21" s="1" t="s">
        <v>8</v>
      </c>
      <c r="C21" s="1" t="s">
        <v>24</v>
      </c>
      <c r="D21" s="1" t="s">
        <v>17</v>
      </c>
      <c r="E21" s="1" t="s">
        <v>16</v>
      </c>
      <c r="G21" s="5">
        <v>2</v>
      </c>
      <c r="H21" s="1" t="s">
        <v>32</v>
      </c>
    </row>
    <row r="22" spans="1:8" x14ac:dyDescent="0.25">
      <c r="A22" s="3"/>
      <c r="E22" s="7" t="s">
        <v>10</v>
      </c>
      <c r="F22" s="7"/>
      <c r="G22" s="8">
        <f>SUM(G9:G21)</f>
        <v>26</v>
      </c>
    </row>
    <row r="23" spans="1:8" x14ac:dyDescent="0.25">
      <c r="A23" s="3"/>
      <c r="E23" s="7" t="s">
        <v>11</v>
      </c>
      <c r="F23" s="7"/>
      <c r="G23" s="9">
        <v>100</v>
      </c>
    </row>
    <row r="24" spans="1:8" x14ac:dyDescent="0.25">
      <c r="A24" s="3"/>
      <c r="E24" s="7" t="s">
        <v>12</v>
      </c>
      <c r="F24" s="7"/>
      <c r="G24" s="9">
        <f>G22*G23</f>
        <v>2600</v>
      </c>
    </row>
    <row r="25" spans="1:8" x14ac:dyDescent="0.25">
      <c r="A25" s="3"/>
      <c r="G25" s="6"/>
    </row>
    <row r="26" spans="1:8" x14ac:dyDescent="0.25">
      <c r="A26" s="3">
        <v>46055</v>
      </c>
      <c r="B26" s="1" t="s">
        <v>8</v>
      </c>
      <c r="C26" s="1" t="s">
        <v>19</v>
      </c>
      <c r="D26" s="1" t="s">
        <v>17</v>
      </c>
      <c r="E26" s="1" t="s">
        <v>46</v>
      </c>
      <c r="G26" s="5">
        <v>1.5</v>
      </c>
      <c r="H26" s="1" t="s">
        <v>45</v>
      </c>
    </row>
    <row r="27" spans="1:8" x14ac:dyDescent="0.25">
      <c r="A27" s="3"/>
      <c r="E27" s="7" t="s">
        <v>10</v>
      </c>
      <c r="F27" s="7"/>
      <c r="G27" s="8">
        <f>SUM(G26)</f>
        <v>1.5</v>
      </c>
    </row>
    <row r="28" spans="1:8" x14ac:dyDescent="0.25">
      <c r="A28" s="3"/>
      <c r="E28" s="7" t="s">
        <v>11</v>
      </c>
      <c r="F28" s="7"/>
      <c r="G28" s="9">
        <v>100</v>
      </c>
    </row>
    <row r="29" spans="1:8" x14ac:dyDescent="0.25">
      <c r="A29" s="3"/>
      <c r="E29" s="7" t="s">
        <v>12</v>
      </c>
      <c r="F29" s="7"/>
      <c r="G29" s="9">
        <f>G27*G28</f>
        <v>150</v>
      </c>
    </row>
    <row r="30" spans="1:8" x14ac:dyDescent="0.25">
      <c r="A30" s="3"/>
      <c r="E30" s="7"/>
      <c r="F30" s="7"/>
      <c r="G30" s="9"/>
    </row>
    <row r="31" spans="1:8" x14ac:dyDescent="0.25">
      <c r="A31" s="3">
        <v>46063</v>
      </c>
      <c r="B31" s="1" t="s">
        <v>8</v>
      </c>
      <c r="C31" s="1" t="s">
        <v>48</v>
      </c>
      <c r="D31" s="1" t="s">
        <v>17</v>
      </c>
      <c r="E31" s="1" t="s">
        <v>16</v>
      </c>
      <c r="G31" s="5">
        <v>2</v>
      </c>
      <c r="H31" s="1" t="s">
        <v>47</v>
      </c>
    </row>
    <row r="32" spans="1:8" x14ac:dyDescent="0.25">
      <c r="A32" s="3"/>
      <c r="E32" s="7" t="s">
        <v>10</v>
      </c>
      <c r="F32" s="7"/>
      <c r="G32" s="8">
        <f>SUM(G31)</f>
        <v>2</v>
      </c>
    </row>
    <row r="33" spans="1:7" x14ac:dyDescent="0.25">
      <c r="A33" s="3"/>
      <c r="E33" s="7" t="s">
        <v>11</v>
      </c>
      <c r="F33" s="7"/>
      <c r="G33" s="9">
        <v>118</v>
      </c>
    </row>
    <row r="34" spans="1:7" x14ac:dyDescent="0.25">
      <c r="A34" s="3"/>
      <c r="E34" s="7" t="s">
        <v>12</v>
      </c>
      <c r="F34" s="7"/>
      <c r="G34" s="9">
        <f>G32*G33</f>
        <v>236</v>
      </c>
    </row>
    <row r="35" spans="1:7" x14ac:dyDescent="0.25">
      <c r="A35" s="3"/>
    </row>
    <row r="37" spans="1:7" x14ac:dyDescent="0.25">
      <c r="E37" s="7" t="s">
        <v>31</v>
      </c>
      <c r="F37" s="7"/>
      <c r="G37" s="9">
        <f>G24+G29+G34</f>
        <v>2986</v>
      </c>
    </row>
  </sheetData>
  <pageMargins left="0.75" right="0.75" top="0.75" bottom="0.5" header="0.5" footer="0.7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CAA0-A771-4037-B4AA-4A7AC34B4E87}">
  <dimension ref="A1:H35"/>
  <sheetViews>
    <sheetView showGridLines="0" workbookViewId="0"/>
  </sheetViews>
  <sheetFormatPr defaultColWidth="9.140625" defaultRowHeight="11.25" x14ac:dyDescent="0.25"/>
  <cols>
    <col min="1" max="1" width="8.85546875" style="1" customWidth="1"/>
    <col min="2" max="2" width="9.85546875" style="1" customWidth="1"/>
    <col min="3" max="3" width="47.28515625" style="1" customWidth="1"/>
    <col min="4" max="4" width="13" style="1" customWidth="1"/>
    <col min="5" max="5" width="41.42578125" style="1" customWidth="1"/>
    <col min="6" max="6" width="11.5703125" style="1" customWidth="1"/>
    <col min="7" max="7" width="9.5703125" style="5" customWidth="1"/>
    <col min="8" max="8" width="72.85546875" style="1" customWidth="1"/>
    <col min="9" max="9" width="9.140625" style="1" customWidth="1"/>
    <col min="10" max="16384" width="9.140625" style="1"/>
  </cols>
  <sheetData>
    <row r="1" spans="1:8" x14ac:dyDescent="0.25">
      <c r="A1" s="10"/>
      <c r="B1" s="10"/>
      <c r="C1" s="13" t="s">
        <v>8</v>
      </c>
    </row>
    <row r="2" spans="1:8" x14ac:dyDescent="0.25">
      <c r="A2" s="10"/>
      <c r="B2" s="10"/>
      <c r="C2" s="13" t="s">
        <v>13</v>
      </c>
    </row>
    <row r="3" spans="1:8" ht="12.75" x14ac:dyDescent="0.25">
      <c r="A3" s="10"/>
      <c r="B3" s="10"/>
      <c r="C3" s="13" t="s">
        <v>14</v>
      </c>
      <c r="E3" s="12" t="s">
        <v>49</v>
      </c>
    </row>
    <row r="4" spans="1:8" x14ac:dyDescent="0.25">
      <c r="A4" s="10"/>
      <c r="B4" s="10"/>
      <c r="C4" s="13" t="s">
        <v>15</v>
      </c>
    </row>
    <row r="5" spans="1:8" x14ac:dyDescent="0.25">
      <c r="A5" s="10"/>
      <c r="B5" s="10"/>
      <c r="C5" s="10"/>
    </row>
    <row r="6" spans="1:8" x14ac:dyDescent="0.25">
      <c r="A6" s="10"/>
      <c r="B6" s="10"/>
      <c r="C6" s="10"/>
    </row>
    <row r="7" spans="1:8" x14ac:dyDescent="0.25">
      <c r="A7" s="11"/>
      <c r="B7" s="11"/>
      <c r="C7" s="11"/>
    </row>
    <row r="8" spans="1: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4" t="s">
        <v>6</v>
      </c>
      <c r="H8" s="2" t="s">
        <v>7</v>
      </c>
    </row>
    <row r="9" spans="1:8" x14ac:dyDescent="0.25">
      <c r="A9" s="3">
        <v>46083</v>
      </c>
      <c r="B9" s="1" t="s">
        <v>8</v>
      </c>
      <c r="C9" s="1" t="s">
        <v>24</v>
      </c>
      <c r="D9" s="1" t="s">
        <v>17</v>
      </c>
      <c r="E9" s="1" t="s">
        <v>16</v>
      </c>
      <c r="G9" s="5">
        <v>1</v>
      </c>
      <c r="H9" s="1" t="s">
        <v>53</v>
      </c>
    </row>
    <row r="10" spans="1:8" x14ac:dyDescent="0.25">
      <c r="A10" s="3">
        <v>46084</v>
      </c>
      <c r="B10" s="1" t="s">
        <v>8</v>
      </c>
      <c r="C10" s="1" t="s">
        <v>24</v>
      </c>
      <c r="D10" s="1" t="s">
        <v>17</v>
      </c>
      <c r="E10" s="1" t="s">
        <v>16</v>
      </c>
      <c r="G10" s="5">
        <v>1</v>
      </c>
      <c r="H10" s="1" t="s">
        <v>52</v>
      </c>
    </row>
    <row r="11" spans="1:8" x14ac:dyDescent="0.25">
      <c r="A11" s="3">
        <v>46106</v>
      </c>
      <c r="B11" s="1" t="s">
        <v>8</v>
      </c>
      <c r="C11" s="1" t="s">
        <v>24</v>
      </c>
      <c r="D11" s="1" t="s">
        <v>17</v>
      </c>
      <c r="E11" s="1" t="s">
        <v>16</v>
      </c>
      <c r="G11" s="5">
        <v>2</v>
      </c>
      <c r="H11" s="1" t="s">
        <v>51</v>
      </c>
    </row>
    <row r="12" spans="1:8" x14ac:dyDescent="0.25">
      <c r="A12" s="3"/>
      <c r="E12" s="7" t="s">
        <v>10</v>
      </c>
      <c r="F12" s="7"/>
      <c r="G12" s="8">
        <f>SUM(G9:G11)</f>
        <v>4</v>
      </c>
    </row>
    <row r="13" spans="1:8" x14ac:dyDescent="0.25">
      <c r="A13" s="3"/>
      <c r="E13" s="7" t="s">
        <v>11</v>
      </c>
      <c r="F13" s="7"/>
      <c r="G13" s="9">
        <v>100</v>
      </c>
    </row>
    <row r="14" spans="1:8" x14ac:dyDescent="0.25">
      <c r="A14" s="3"/>
      <c r="E14" s="7" t="s">
        <v>12</v>
      </c>
      <c r="F14" s="7"/>
      <c r="G14" s="9">
        <f>G12*G13</f>
        <v>400</v>
      </c>
    </row>
    <row r="15" spans="1:8" x14ac:dyDescent="0.25">
      <c r="A15" s="3"/>
      <c r="G15" s="6"/>
    </row>
    <row r="16" spans="1:8" x14ac:dyDescent="0.25">
      <c r="A16" s="3">
        <v>46084</v>
      </c>
      <c r="B16" s="1" t="s">
        <v>8</v>
      </c>
      <c r="C16" s="1" t="s">
        <v>59</v>
      </c>
      <c r="D16" s="1" t="s">
        <v>17</v>
      </c>
      <c r="E16" s="1" t="s">
        <v>65</v>
      </c>
      <c r="G16" s="5">
        <v>1</v>
      </c>
      <c r="H16" s="1" t="s">
        <v>68</v>
      </c>
    </row>
    <row r="17" spans="1:8" x14ac:dyDescent="0.25">
      <c r="A17" s="3">
        <v>46085</v>
      </c>
      <c r="B17" s="1" t="s">
        <v>8</v>
      </c>
      <c r="C17" s="1" t="s">
        <v>59</v>
      </c>
      <c r="D17" s="1" t="s">
        <v>17</v>
      </c>
      <c r="E17" s="1" t="s">
        <v>65</v>
      </c>
      <c r="G17" s="5">
        <v>1.5</v>
      </c>
      <c r="H17" s="1" t="s">
        <v>67</v>
      </c>
    </row>
    <row r="18" spans="1:8" x14ac:dyDescent="0.25">
      <c r="A18" s="3">
        <v>46086</v>
      </c>
      <c r="B18" s="1" t="s">
        <v>8</v>
      </c>
      <c r="C18" s="1" t="s">
        <v>59</v>
      </c>
      <c r="D18" s="1" t="s">
        <v>17</v>
      </c>
      <c r="E18" s="1" t="s">
        <v>65</v>
      </c>
      <c r="G18" s="5">
        <v>1.5</v>
      </c>
      <c r="H18" s="1" t="s">
        <v>66</v>
      </c>
    </row>
    <row r="19" spans="1:8" x14ac:dyDescent="0.25">
      <c r="A19" s="3">
        <v>46087</v>
      </c>
      <c r="B19" s="1" t="s">
        <v>8</v>
      </c>
      <c r="C19" s="1" t="s">
        <v>59</v>
      </c>
      <c r="D19" s="1" t="s">
        <v>17</v>
      </c>
      <c r="E19" s="1" t="s">
        <v>65</v>
      </c>
      <c r="G19" s="5">
        <v>1</v>
      </c>
      <c r="H19" s="1" t="s">
        <v>64</v>
      </c>
    </row>
    <row r="20" spans="1:8" x14ac:dyDescent="0.25">
      <c r="A20" s="3">
        <v>46094</v>
      </c>
      <c r="B20" s="1" t="s">
        <v>8</v>
      </c>
      <c r="C20" s="1" t="s">
        <v>59</v>
      </c>
      <c r="D20" s="1" t="s">
        <v>17</v>
      </c>
      <c r="E20" s="1" t="s">
        <v>61</v>
      </c>
      <c r="G20" s="5">
        <v>1.5</v>
      </c>
      <c r="H20" s="1" t="s">
        <v>63</v>
      </c>
    </row>
    <row r="21" spans="1:8" x14ac:dyDescent="0.25">
      <c r="A21" s="3">
        <v>46097</v>
      </c>
      <c r="B21" s="1" t="s">
        <v>8</v>
      </c>
      <c r="C21" s="1" t="s">
        <v>59</v>
      </c>
      <c r="D21" s="1" t="s">
        <v>17</v>
      </c>
      <c r="E21" s="1" t="s">
        <v>61</v>
      </c>
      <c r="G21" s="5">
        <v>1.5</v>
      </c>
      <c r="H21" s="1" t="s">
        <v>62</v>
      </c>
    </row>
    <row r="22" spans="1:8" x14ac:dyDescent="0.25">
      <c r="A22" s="3">
        <v>46099</v>
      </c>
      <c r="B22" s="1" t="s">
        <v>8</v>
      </c>
      <c r="C22" s="1" t="s">
        <v>59</v>
      </c>
      <c r="D22" s="1" t="s">
        <v>17</v>
      </c>
      <c r="E22" s="1" t="s">
        <v>61</v>
      </c>
      <c r="G22" s="5">
        <v>1.5</v>
      </c>
      <c r="H22" s="1" t="s">
        <v>60</v>
      </c>
    </row>
    <row r="23" spans="1:8" x14ac:dyDescent="0.25">
      <c r="A23" s="3">
        <v>46107</v>
      </c>
      <c r="B23" s="1" t="s">
        <v>8</v>
      </c>
      <c r="C23" s="1" t="s">
        <v>59</v>
      </c>
      <c r="D23" s="1" t="s">
        <v>17</v>
      </c>
      <c r="E23" s="1" t="s">
        <v>58</v>
      </c>
      <c r="G23" s="5">
        <v>1</v>
      </c>
      <c r="H23" s="1" t="s">
        <v>57</v>
      </c>
    </row>
    <row r="24" spans="1:8" x14ac:dyDescent="0.25">
      <c r="A24" s="3">
        <v>46083</v>
      </c>
      <c r="B24" s="1" t="s">
        <v>8</v>
      </c>
      <c r="C24" s="1" t="s">
        <v>56</v>
      </c>
      <c r="D24" s="1" t="s">
        <v>55</v>
      </c>
      <c r="G24" s="5">
        <v>1</v>
      </c>
      <c r="H24" s="1" t="s">
        <v>54</v>
      </c>
    </row>
    <row r="25" spans="1:8" x14ac:dyDescent="0.25">
      <c r="A25" s="3"/>
      <c r="E25" s="7" t="s">
        <v>10</v>
      </c>
      <c r="F25" s="7"/>
      <c r="G25" s="8">
        <f>SUM(G16:G24)</f>
        <v>11.5</v>
      </c>
    </row>
    <row r="26" spans="1:8" x14ac:dyDescent="0.25">
      <c r="A26" s="3"/>
      <c r="E26" s="7" t="s">
        <v>11</v>
      </c>
      <c r="F26" s="7"/>
      <c r="G26" s="9">
        <v>110</v>
      </c>
    </row>
    <row r="27" spans="1:8" x14ac:dyDescent="0.25">
      <c r="A27" s="3"/>
      <c r="E27" s="7" t="s">
        <v>12</v>
      </c>
      <c r="F27" s="7"/>
      <c r="G27" s="9">
        <f>G25*G26</f>
        <v>1265</v>
      </c>
    </row>
    <row r="28" spans="1:8" x14ac:dyDescent="0.25">
      <c r="A28" s="3"/>
      <c r="E28" s="7"/>
      <c r="F28" s="7"/>
      <c r="G28" s="9"/>
    </row>
    <row r="29" spans="1:8" x14ac:dyDescent="0.25">
      <c r="A29" s="3">
        <v>46106</v>
      </c>
      <c r="B29" s="1" t="s">
        <v>8</v>
      </c>
      <c r="C29" s="1" t="s">
        <v>70</v>
      </c>
      <c r="D29" s="1" t="s">
        <v>17</v>
      </c>
      <c r="E29" s="1" t="s">
        <v>16</v>
      </c>
      <c r="G29" s="5">
        <v>1</v>
      </c>
      <c r="H29" s="1" t="s">
        <v>69</v>
      </c>
    </row>
    <row r="30" spans="1:8" x14ac:dyDescent="0.25">
      <c r="A30" s="3"/>
      <c r="E30" s="7" t="s">
        <v>10</v>
      </c>
      <c r="F30" s="7"/>
      <c r="G30" s="8">
        <f>SUM(G29)</f>
        <v>1</v>
      </c>
    </row>
    <row r="31" spans="1:8" x14ac:dyDescent="0.25">
      <c r="A31" s="3"/>
      <c r="E31" s="7" t="s">
        <v>11</v>
      </c>
      <c r="F31" s="7"/>
      <c r="G31" s="9">
        <v>118</v>
      </c>
    </row>
    <row r="32" spans="1:8" x14ac:dyDescent="0.25">
      <c r="A32" s="3"/>
      <c r="E32" s="7" t="s">
        <v>12</v>
      </c>
      <c r="F32" s="7"/>
      <c r="G32" s="9">
        <f>G30*G31</f>
        <v>118</v>
      </c>
    </row>
    <row r="33" spans="1:7" x14ac:dyDescent="0.25">
      <c r="A33" s="3"/>
    </row>
    <row r="35" spans="1:7" x14ac:dyDescent="0.25">
      <c r="E35" s="7" t="s">
        <v>50</v>
      </c>
      <c r="F35" s="7"/>
      <c r="G35" s="9">
        <f>G14+G27+G32</f>
        <v>1783</v>
      </c>
    </row>
  </sheetData>
  <pageMargins left="0.75" right="0.75" top="0.75" bottom="0.5" header="0.5" footer="0.7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5E82-44BB-480F-B28D-DDAD949D9BD3}">
  <dimension ref="A1:H33"/>
  <sheetViews>
    <sheetView showGridLines="0" tabSelected="1" workbookViewId="0"/>
  </sheetViews>
  <sheetFormatPr defaultColWidth="9.140625" defaultRowHeight="11.25" x14ac:dyDescent="0.25"/>
  <cols>
    <col min="1" max="1" width="8.85546875" style="1" customWidth="1"/>
    <col min="2" max="2" width="9.85546875" style="1" customWidth="1"/>
    <col min="3" max="3" width="47.28515625" style="1" customWidth="1"/>
    <col min="4" max="4" width="13" style="1" customWidth="1"/>
    <col min="5" max="5" width="41.42578125" style="1" customWidth="1"/>
    <col min="6" max="6" width="11.5703125" style="1" customWidth="1"/>
    <col min="7" max="7" width="9.5703125" style="5" customWidth="1"/>
    <col min="8" max="8" width="72.85546875" style="1" customWidth="1"/>
    <col min="9" max="9" width="9.140625" style="1" customWidth="1"/>
    <col min="10" max="16384" width="9.140625" style="1"/>
  </cols>
  <sheetData>
    <row r="1" spans="1:8" x14ac:dyDescent="0.25">
      <c r="A1" s="10"/>
      <c r="B1" s="10"/>
      <c r="C1" s="13" t="s">
        <v>8</v>
      </c>
    </row>
    <row r="2" spans="1:8" x14ac:dyDescent="0.25">
      <c r="A2" s="10"/>
      <c r="B2" s="10"/>
      <c r="C2" s="13" t="s">
        <v>13</v>
      </c>
    </row>
    <row r="3" spans="1:8" ht="12.75" x14ac:dyDescent="0.25">
      <c r="A3" s="10"/>
      <c r="B3" s="10"/>
      <c r="C3" s="13" t="s">
        <v>14</v>
      </c>
      <c r="E3" s="12" t="s">
        <v>71</v>
      </c>
    </row>
    <row r="4" spans="1:8" x14ac:dyDescent="0.25">
      <c r="A4" s="10"/>
      <c r="B4" s="10"/>
      <c r="C4" s="13" t="s">
        <v>15</v>
      </c>
    </row>
    <row r="5" spans="1:8" x14ac:dyDescent="0.25">
      <c r="A5" s="10"/>
      <c r="B5" s="10"/>
      <c r="C5" s="10"/>
    </row>
    <row r="6" spans="1:8" x14ac:dyDescent="0.25">
      <c r="A6" s="10"/>
      <c r="B6" s="10"/>
      <c r="C6" s="10"/>
    </row>
    <row r="7" spans="1:8" x14ac:dyDescent="0.25">
      <c r="A7" s="11"/>
      <c r="B7" s="11"/>
      <c r="C7" s="11"/>
    </row>
    <row r="8" spans="1: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4" t="s">
        <v>6</v>
      </c>
      <c r="H8" s="2" t="s">
        <v>7</v>
      </c>
    </row>
    <row r="9" spans="1:8" x14ac:dyDescent="0.25">
      <c r="A9" s="3">
        <v>46115</v>
      </c>
      <c r="B9" s="1" t="s">
        <v>8</v>
      </c>
      <c r="C9" s="1" t="s">
        <v>24</v>
      </c>
      <c r="D9" s="1" t="s">
        <v>17</v>
      </c>
      <c r="E9" s="1" t="s">
        <v>16</v>
      </c>
      <c r="G9" s="5">
        <v>1</v>
      </c>
      <c r="H9" s="1" t="s">
        <v>72</v>
      </c>
    </row>
    <row r="10" spans="1:8" x14ac:dyDescent="0.25">
      <c r="A10" s="3"/>
      <c r="E10" s="7" t="s">
        <v>10</v>
      </c>
      <c r="F10" s="7"/>
      <c r="G10" s="8">
        <f>SUM(G9)</f>
        <v>1</v>
      </c>
    </row>
    <row r="11" spans="1:8" x14ac:dyDescent="0.25">
      <c r="A11" s="3"/>
      <c r="E11" s="7" t="s">
        <v>11</v>
      </c>
      <c r="F11" s="7"/>
      <c r="G11" s="9">
        <v>100</v>
      </c>
    </row>
    <row r="12" spans="1:8" x14ac:dyDescent="0.25">
      <c r="A12" s="3"/>
      <c r="E12" s="7" t="s">
        <v>12</v>
      </c>
      <c r="F12" s="7"/>
      <c r="G12" s="9">
        <f>G10*G11</f>
        <v>100</v>
      </c>
    </row>
    <row r="13" spans="1:8" x14ac:dyDescent="0.25">
      <c r="A13" s="3"/>
      <c r="G13" s="6"/>
    </row>
    <row r="14" spans="1:8" x14ac:dyDescent="0.25">
      <c r="A14" s="3">
        <v>46113</v>
      </c>
      <c r="B14" s="1" t="s">
        <v>8</v>
      </c>
      <c r="C14" s="1" t="s">
        <v>59</v>
      </c>
      <c r="D14" s="1" t="s">
        <v>17</v>
      </c>
      <c r="E14" s="1" t="s">
        <v>61</v>
      </c>
      <c r="G14" s="5">
        <v>1</v>
      </c>
      <c r="H14" s="1" t="s">
        <v>77</v>
      </c>
    </row>
    <row r="15" spans="1:8" x14ac:dyDescent="0.25">
      <c r="A15" s="3">
        <v>46135</v>
      </c>
      <c r="B15" s="1" t="s">
        <v>8</v>
      </c>
      <c r="C15" s="1" t="s">
        <v>59</v>
      </c>
      <c r="D15" s="1" t="s">
        <v>17</v>
      </c>
      <c r="E15" s="1" t="s">
        <v>76</v>
      </c>
      <c r="G15" s="5">
        <v>1</v>
      </c>
      <c r="H15" s="1" t="s">
        <v>75</v>
      </c>
    </row>
    <row r="16" spans="1:8" x14ac:dyDescent="0.25">
      <c r="A16" s="3">
        <v>46140</v>
      </c>
      <c r="B16" s="1" t="s">
        <v>8</v>
      </c>
      <c r="C16" s="1" t="s">
        <v>59</v>
      </c>
      <c r="D16" s="1" t="s">
        <v>17</v>
      </c>
      <c r="E16" s="1" t="s">
        <v>74</v>
      </c>
      <c r="G16" s="5">
        <v>1</v>
      </c>
      <c r="H16" s="1" t="s">
        <v>73</v>
      </c>
    </row>
    <row r="17" spans="1:8" x14ac:dyDescent="0.25">
      <c r="A17" s="3"/>
      <c r="E17" s="7" t="s">
        <v>10</v>
      </c>
      <c r="F17" s="7"/>
      <c r="G17" s="8">
        <f>SUM(G14:G16)</f>
        <v>3</v>
      </c>
    </row>
    <row r="18" spans="1:8" x14ac:dyDescent="0.25">
      <c r="A18" s="3"/>
      <c r="E18" s="7" t="s">
        <v>11</v>
      </c>
      <c r="F18" s="7"/>
      <c r="G18" s="9">
        <v>110</v>
      </c>
    </row>
    <row r="19" spans="1:8" x14ac:dyDescent="0.25">
      <c r="A19" s="3"/>
      <c r="E19" s="7" t="s">
        <v>12</v>
      </c>
      <c r="F19" s="7"/>
      <c r="G19" s="9">
        <f>G17*G18</f>
        <v>330</v>
      </c>
    </row>
    <row r="20" spans="1:8" x14ac:dyDescent="0.25">
      <c r="A20" s="3"/>
      <c r="E20" s="7"/>
      <c r="F20" s="7"/>
      <c r="G20" s="9"/>
    </row>
    <row r="21" spans="1:8" x14ac:dyDescent="0.25">
      <c r="A21" s="3">
        <v>46129</v>
      </c>
      <c r="B21" s="1" t="s">
        <v>8</v>
      </c>
      <c r="C21" s="1" t="s">
        <v>83</v>
      </c>
      <c r="D21" s="1" t="s">
        <v>17</v>
      </c>
      <c r="E21" s="1" t="s">
        <v>82</v>
      </c>
      <c r="G21" s="5">
        <v>1</v>
      </c>
      <c r="H21" s="1" t="s">
        <v>81</v>
      </c>
    </row>
    <row r="22" spans="1:8" x14ac:dyDescent="0.25">
      <c r="A22" s="3"/>
      <c r="E22" s="7" t="s">
        <v>10</v>
      </c>
      <c r="F22" s="7"/>
      <c r="G22" s="8">
        <f>SUM(G21)</f>
        <v>1</v>
      </c>
    </row>
    <row r="23" spans="1:8" x14ac:dyDescent="0.25">
      <c r="A23" s="3"/>
      <c r="E23" s="7" t="s">
        <v>11</v>
      </c>
      <c r="F23" s="7"/>
      <c r="G23" s="9">
        <v>80</v>
      </c>
    </row>
    <row r="24" spans="1:8" x14ac:dyDescent="0.25">
      <c r="A24" s="3"/>
      <c r="E24" s="7" t="s">
        <v>12</v>
      </c>
      <c r="F24" s="7"/>
      <c r="G24" s="9">
        <f>G22*G23</f>
        <v>80</v>
      </c>
    </row>
    <row r="25" spans="1:8" x14ac:dyDescent="0.25">
      <c r="A25" s="3"/>
      <c r="E25" s="7"/>
      <c r="F25" s="7"/>
      <c r="G25" s="9"/>
    </row>
    <row r="26" spans="1:8" x14ac:dyDescent="0.25">
      <c r="A26" s="3">
        <v>46120</v>
      </c>
      <c r="B26" s="1" t="s">
        <v>8</v>
      </c>
      <c r="C26" s="1" t="s">
        <v>70</v>
      </c>
      <c r="D26" s="1" t="s">
        <v>17</v>
      </c>
      <c r="E26" s="1" t="s">
        <v>16</v>
      </c>
      <c r="G26" s="5">
        <v>1</v>
      </c>
      <c r="H26" s="1" t="s">
        <v>79</v>
      </c>
    </row>
    <row r="27" spans="1:8" x14ac:dyDescent="0.25">
      <c r="A27" s="3">
        <v>46141</v>
      </c>
      <c r="B27" s="1" t="s">
        <v>8</v>
      </c>
      <c r="C27" s="1" t="s">
        <v>70</v>
      </c>
      <c r="D27" s="1" t="s">
        <v>17</v>
      </c>
      <c r="E27" s="1" t="s">
        <v>16</v>
      </c>
      <c r="G27" s="5">
        <v>1</v>
      </c>
      <c r="H27" s="1" t="s">
        <v>78</v>
      </c>
    </row>
    <row r="28" spans="1:8" x14ac:dyDescent="0.25">
      <c r="A28" s="3"/>
      <c r="E28" s="7" t="s">
        <v>10</v>
      </c>
      <c r="F28" s="7"/>
      <c r="G28" s="8">
        <f>SUM(G26:G27)</f>
        <v>2</v>
      </c>
    </row>
    <row r="29" spans="1:8" x14ac:dyDescent="0.25">
      <c r="A29" s="3"/>
      <c r="E29" s="7" t="s">
        <v>11</v>
      </c>
      <c r="F29" s="7"/>
      <c r="G29" s="9">
        <v>118</v>
      </c>
    </row>
    <row r="30" spans="1:8" x14ac:dyDescent="0.25">
      <c r="A30" s="3"/>
      <c r="E30" s="7" t="s">
        <v>12</v>
      </c>
      <c r="F30" s="7"/>
      <c r="G30" s="9">
        <f>G28*G29</f>
        <v>236</v>
      </c>
    </row>
    <row r="31" spans="1:8" x14ac:dyDescent="0.25">
      <c r="A31" s="3"/>
    </row>
    <row r="33" spans="5:7" x14ac:dyDescent="0.25">
      <c r="E33" s="7" t="s">
        <v>80</v>
      </c>
      <c r="F33" s="7"/>
      <c r="G33" s="9">
        <f>G12+G19+G30+G24</f>
        <v>746</v>
      </c>
    </row>
  </sheetData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2026</vt:lpstr>
      <vt:lpstr>Feb 2026</vt:lpstr>
      <vt:lpstr>Mar 2026</vt:lpstr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Lutter</cp:lastModifiedBy>
  <cp:lastPrinted>2024-04-23T14:20:36Z</cp:lastPrinted>
  <dcterms:created xsi:type="dcterms:W3CDTF">2024-03-01T18:38:06Z</dcterms:created>
  <dcterms:modified xsi:type="dcterms:W3CDTF">2026-05-04T14:10:55Z</dcterms:modified>
</cp:coreProperties>
</file>